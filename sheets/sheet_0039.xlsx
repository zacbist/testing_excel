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Allocated</t>
        </is>
      </c>
      <c r="C1" t="inlineStr">
        <is>
          <t>Spent</t>
        </is>
      </c>
      <c r="D1" t="inlineStr">
        <is>
          <t>Remaining</t>
        </is>
      </c>
      <c r="E1" t="inlineStr">
        <is>
          <t>Variance</t>
        </is>
      </c>
      <c r="F1" t="inlineStr">
        <is>
          <t>Pct Used</t>
        </is>
      </c>
    </row>
    <row r="2">
      <c r="A2" t="inlineStr">
        <is>
          <t>Design</t>
        </is>
      </c>
      <c r="B2" t="n">
        <v>37053</v>
      </c>
      <c r="C2" t="n">
        <v>20173.04</v>
      </c>
      <c r="D2" t="n">
        <v>11793.53</v>
      </c>
      <c r="E2" t="n">
        <v>10941.73</v>
      </c>
      <c r="F2">
        <f>SUM(B2:E2)</f>
        <v/>
      </c>
    </row>
    <row r="3">
      <c r="A3" t="inlineStr">
        <is>
          <t>Engineering</t>
        </is>
      </c>
      <c r="B3" t="n">
        <v>7092.77</v>
      </c>
      <c r="C3" t="n">
        <v>49674.82</v>
      </c>
      <c r="D3" t="n">
        <v>11784.66</v>
      </c>
      <c r="E3" t="n">
        <v>45828.21</v>
      </c>
      <c r="F3">
        <f>B3*C3</f>
        <v/>
      </c>
    </row>
    <row r="4">
      <c r="A4" t="inlineStr">
        <is>
          <t>Legal</t>
        </is>
      </c>
      <c r="B4" t="n">
        <v>28915.99</v>
      </c>
      <c r="C4" t="n">
        <v>38649.66</v>
      </c>
      <c r="D4" t="n">
        <v>40937.29</v>
      </c>
      <c r="E4" t="n">
        <v>11921.51</v>
      </c>
      <c r="F4">
        <f>AVERAGE(B4:E4)</f>
        <v/>
      </c>
    </row>
    <row r="5">
      <c r="A5" t="inlineStr">
        <is>
          <t>Operations</t>
        </is>
      </c>
      <c r="B5" t="n">
        <v>49286.21</v>
      </c>
      <c r="C5" t="n">
        <v>26110.43</v>
      </c>
      <c r="D5" t="n">
        <v>20736.65</v>
      </c>
      <c r="E5" t="n">
        <v>13830.18</v>
      </c>
      <c r="F5">
        <f>AVERAGE(B5:E5)</f>
        <v/>
      </c>
    </row>
    <row r="6">
      <c r="A6" t="inlineStr">
        <is>
          <t>HR</t>
        </is>
      </c>
      <c r="B6" t="n">
        <v>31337.06</v>
      </c>
      <c r="C6" t="n">
        <v>21417.31</v>
      </c>
      <c r="D6" t="n">
        <v>24831.48</v>
      </c>
      <c r="E6" t="n">
        <v>48617.28</v>
      </c>
      <c r="F6">
        <f>MAX(B6:E6)-MIN(B6:E6)</f>
        <v/>
      </c>
    </row>
    <row r="7">
      <c r="A7" t="inlineStr">
        <is>
          <t>Product</t>
        </is>
      </c>
      <c r="B7" t="n">
        <v>39311.65</v>
      </c>
      <c r="C7" t="n">
        <v>16004.85</v>
      </c>
      <c r="D7" t="n">
        <v>20874.6</v>
      </c>
      <c r="E7" t="n">
        <v>7545.96</v>
      </c>
      <c r="F7">
        <f>MAX(B7:E7)-MIN(B7:E7)</f>
        <v/>
      </c>
    </row>
    <row r="8">
      <c r="A8" t="inlineStr">
        <is>
          <t>Sales</t>
        </is>
      </c>
      <c r="B8" t="n">
        <v>9275.559999999999</v>
      </c>
      <c r="C8" t="n">
        <v>26942.62</v>
      </c>
      <c r="D8" t="n">
        <v>12124.31</v>
      </c>
      <c r="E8" t="n">
        <v>11344.69</v>
      </c>
      <c r="F8">
        <f>AVERAGE(B8:E8)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