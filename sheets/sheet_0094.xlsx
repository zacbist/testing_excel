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Allocated</t>
        </is>
      </c>
      <c r="C1" t="inlineStr">
        <is>
          <t>Spent</t>
        </is>
      </c>
      <c r="D1" t="inlineStr">
        <is>
          <t>Remaining</t>
        </is>
      </c>
      <c r="E1" t="inlineStr">
        <is>
          <t>Variance</t>
        </is>
      </c>
      <c r="F1" t="inlineStr">
        <is>
          <t>Pct Used</t>
        </is>
      </c>
    </row>
    <row r="2">
      <c r="A2" t="inlineStr">
        <is>
          <t>Engineering</t>
        </is>
      </c>
      <c r="B2" t="n">
        <v>42621.26</v>
      </c>
      <c r="C2" t="n">
        <v>24623.14</v>
      </c>
      <c r="D2" t="n">
        <v>6961.88</v>
      </c>
      <c r="E2" t="n">
        <v>9743.67</v>
      </c>
      <c r="F2">
        <f>SUM(B2:E2)</f>
        <v/>
      </c>
    </row>
    <row r="3">
      <c r="A3" t="inlineStr">
        <is>
          <t>HR</t>
        </is>
      </c>
      <c r="B3" t="n">
        <v>20488.6</v>
      </c>
      <c r="C3" t="n">
        <v>48443.87</v>
      </c>
      <c r="D3" t="n">
        <v>46279.21</v>
      </c>
      <c r="E3" t="n">
        <v>47514.88</v>
      </c>
      <c r="F3">
        <f>AVERAGE(B3:E3)</f>
        <v/>
      </c>
    </row>
    <row r="4">
      <c r="A4" t="inlineStr">
        <is>
          <t>Sales</t>
        </is>
      </c>
      <c r="B4" t="n">
        <v>37144.1</v>
      </c>
      <c r="C4" t="n">
        <v>49413.35</v>
      </c>
      <c r="D4" t="n">
        <v>37913.05</v>
      </c>
      <c r="E4" t="n">
        <v>3400.2</v>
      </c>
      <c r="F4">
        <f>MAX(B4:E4)-MIN(B4:E4)</f>
        <v/>
      </c>
    </row>
    <row r="5">
      <c r="A5" t="inlineStr">
        <is>
          <t>Product</t>
        </is>
      </c>
      <c r="B5" t="n">
        <v>43369.74</v>
      </c>
      <c r="C5" t="n">
        <v>24548.15</v>
      </c>
      <c r="D5" t="n">
        <v>16312.29</v>
      </c>
      <c r="E5" t="n">
        <v>22931.49</v>
      </c>
      <c r="F5">
        <f>AVERAGE(B5:E5)</f>
        <v/>
      </c>
    </row>
    <row r="6">
      <c r="A6" t="inlineStr">
        <is>
          <t>Finance</t>
        </is>
      </c>
      <c r="B6" t="n">
        <v>21435.03</v>
      </c>
      <c r="C6" t="n">
        <v>38833.11</v>
      </c>
      <c r="D6" t="n">
        <v>30435.7</v>
      </c>
      <c r="E6" t="n">
        <v>41233.99</v>
      </c>
      <c r="F6">
        <f>B6*C6</f>
        <v/>
      </c>
    </row>
    <row r="7">
      <c r="A7" t="inlineStr">
        <is>
          <t>Legal</t>
        </is>
      </c>
      <c r="B7" t="n">
        <v>19768.12</v>
      </c>
      <c r="C7" t="n">
        <v>46963.04</v>
      </c>
      <c r="D7" t="n">
        <v>28639.53</v>
      </c>
      <c r="E7" t="n">
        <v>26854.35</v>
      </c>
      <c r="F7">
        <f>SUM(B7:E7)</f>
        <v/>
      </c>
    </row>
    <row r="8">
      <c r="A8" t="inlineStr">
        <is>
          <t>Support</t>
        </is>
      </c>
      <c r="B8" t="n">
        <v>26080.39</v>
      </c>
      <c r="C8" t="n">
        <v>22635.32</v>
      </c>
      <c r="D8" t="n">
        <v>41367.8</v>
      </c>
      <c r="E8" t="n">
        <v>2216.55</v>
      </c>
      <c r="F8">
        <f>AVERAGE(B8:E8)</f>
        <v/>
      </c>
    </row>
    <row r="9">
      <c r="A9" t="inlineStr">
        <is>
          <t>Marketing</t>
        </is>
      </c>
      <c r="B9" t="n">
        <v>25983.26</v>
      </c>
      <c r="C9" t="n">
        <v>19841</v>
      </c>
      <c r="D9" t="n">
        <v>36784.99</v>
      </c>
      <c r="E9" t="n">
        <v>27929.28</v>
      </c>
      <c r="F9">
        <f>SUM(B9:E9)</f>
        <v/>
      </c>
    </row>
    <row r="10">
      <c r="A10" t="inlineStr">
        <is>
          <t>Operations</t>
        </is>
      </c>
      <c r="B10" t="n">
        <v>9573.530000000001</v>
      </c>
      <c r="C10" t="n">
        <v>22033.74</v>
      </c>
      <c r="D10" t="n">
        <v>44231.44</v>
      </c>
      <c r="E10" t="n">
        <v>38706.48</v>
      </c>
      <c r="F10">
        <f>B10*C10</f>
        <v/>
      </c>
    </row>
    <row r="11">
      <c r="A11" t="inlineStr">
        <is>
          <t>Design</t>
        </is>
      </c>
      <c r="B11" t="n">
        <v>23121.22</v>
      </c>
      <c r="C11" t="n">
        <v>21180.86</v>
      </c>
      <c r="D11" t="n">
        <v>30695.4</v>
      </c>
      <c r="E11" t="n">
        <v>2821.88</v>
      </c>
      <c r="F11">
        <f>AVERAGE(B11:E11)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