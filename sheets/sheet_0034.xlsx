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Allocated</t>
        </is>
      </c>
      <c r="C1" t="inlineStr">
        <is>
          <t>Spent</t>
        </is>
      </c>
      <c r="D1" t="inlineStr">
        <is>
          <t>Remaining</t>
        </is>
      </c>
      <c r="E1" t="inlineStr">
        <is>
          <t>Variance</t>
        </is>
      </c>
      <c r="F1" t="inlineStr">
        <is>
          <t>Pct Used</t>
        </is>
      </c>
    </row>
    <row r="2">
      <c r="A2" t="inlineStr">
        <is>
          <t>Support</t>
        </is>
      </c>
      <c r="B2" t="n">
        <v>25140.79</v>
      </c>
      <c r="C2" t="n">
        <v>30612.76</v>
      </c>
      <c r="D2" t="n">
        <v>23633.11</v>
      </c>
      <c r="E2" t="n">
        <v>42434.01</v>
      </c>
      <c r="F2">
        <f>SUM(B2:E2)</f>
        <v/>
      </c>
    </row>
    <row r="3">
      <c r="A3" t="inlineStr">
        <is>
          <t>Marketing</t>
        </is>
      </c>
      <c r="B3" t="n">
        <v>35318.18</v>
      </c>
      <c r="C3" t="n">
        <v>25982.29</v>
      </c>
      <c r="D3" t="n">
        <v>28088.25</v>
      </c>
      <c r="E3" t="n">
        <v>49906.33</v>
      </c>
      <c r="F3">
        <f>MAX(B3:E3)-MIN(B3:E3)</f>
        <v/>
      </c>
    </row>
    <row r="4">
      <c r="A4" t="inlineStr">
        <is>
          <t>Design</t>
        </is>
      </c>
      <c r="B4" t="n">
        <v>26321.31</v>
      </c>
      <c r="C4" t="n">
        <v>15756.25</v>
      </c>
      <c r="D4" t="n">
        <v>8741.799999999999</v>
      </c>
      <c r="E4" t="n">
        <v>45615</v>
      </c>
      <c r="F4">
        <f>B4*C4</f>
        <v/>
      </c>
    </row>
    <row r="5">
      <c r="A5" t="inlineStr">
        <is>
          <t>HR</t>
        </is>
      </c>
      <c r="B5" t="n">
        <v>27359.03</v>
      </c>
      <c r="C5" t="n">
        <v>33825.84</v>
      </c>
      <c r="D5" t="n">
        <v>43395.95</v>
      </c>
      <c r="E5" t="n">
        <v>34069.22</v>
      </c>
      <c r="F5">
        <f>B5*C5</f>
        <v/>
      </c>
    </row>
    <row r="6">
      <c r="A6" t="inlineStr">
        <is>
          <t>Sales</t>
        </is>
      </c>
      <c r="B6" t="n">
        <v>30542.82</v>
      </c>
      <c r="C6" t="n">
        <v>9693.98</v>
      </c>
      <c r="D6" t="n">
        <v>12401.3</v>
      </c>
      <c r="E6" t="n">
        <v>27948.52</v>
      </c>
      <c r="F6">
        <f>AVERAGE(B6:E6)</f>
        <v/>
      </c>
    </row>
    <row r="7">
      <c r="A7" t="inlineStr">
        <is>
          <t>Finance</t>
        </is>
      </c>
      <c r="B7" t="n">
        <v>47080.13</v>
      </c>
      <c r="C7" t="n">
        <v>49114.79</v>
      </c>
      <c r="D7" t="n">
        <v>38581.6</v>
      </c>
      <c r="E7" t="n">
        <v>35274.56</v>
      </c>
      <c r="F7">
        <f>MAX(B7:E7)-MIN(B7:E7)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