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Allocated</t>
        </is>
      </c>
      <c r="C1" t="inlineStr">
        <is>
          <t>Spent</t>
        </is>
      </c>
      <c r="D1" t="inlineStr">
        <is>
          <t>Remaining</t>
        </is>
      </c>
      <c r="E1" t="inlineStr">
        <is>
          <t>Variance</t>
        </is>
      </c>
      <c r="F1" t="inlineStr">
        <is>
          <t>Pct Used</t>
        </is>
      </c>
    </row>
    <row r="2">
      <c r="A2" t="inlineStr">
        <is>
          <t>Jan</t>
        </is>
      </c>
      <c r="B2" t="n">
        <v>10305.21</v>
      </c>
      <c r="C2" t="n">
        <v>45764.81</v>
      </c>
      <c r="D2" t="n">
        <v>27648.76</v>
      </c>
      <c r="E2" t="n">
        <v>38798.14</v>
      </c>
      <c r="F2">
        <f>MAX(B2:E2)-MIN(B2:E2)</f>
        <v/>
      </c>
    </row>
    <row r="3">
      <c r="A3" t="inlineStr">
        <is>
          <t>Feb</t>
        </is>
      </c>
      <c r="B3" t="n">
        <v>23365.9</v>
      </c>
      <c r="C3" t="n">
        <v>32471.19</v>
      </c>
      <c r="D3" t="n">
        <v>15490.27</v>
      </c>
      <c r="E3" t="n">
        <v>18046.27</v>
      </c>
      <c r="F3">
        <f>MAX(B3:E3)-MIN(B3:E3)</f>
        <v/>
      </c>
    </row>
    <row r="4">
      <c r="A4" t="inlineStr">
        <is>
          <t>Mar</t>
        </is>
      </c>
      <c r="B4" t="n">
        <v>23353.6</v>
      </c>
      <c r="C4" t="n">
        <v>40160.55</v>
      </c>
      <c r="D4" t="n">
        <v>36148.44</v>
      </c>
      <c r="E4" t="n">
        <v>38105.29</v>
      </c>
      <c r="F4">
        <f>B4*C4</f>
        <v/>
      </c>
    </row>
    <row r="5">
      <c r="A5" t="inlineStr">
        <is>
          <t>Apr</t>
        </is>
      </c>
      <c r="B5" t="n">
        <v>45725.09</v>
      </c>
      <c r="C5" t="n">
        <v>18598.18</v>
      </c>
      <c r="D5" t="n">
        <v>20755.12</v>
      </c>
      <c r="E5" t="n">
        <v>28169.98</v>
      </c>
      <c r="F5">
        <f>AVERAGE(B5:E5)</f>
        <v/>
      </c>
    </row>
    <row r="6">
      <c r="A6" t="inlineStr">
        <is>
          <t>May</t>
        </is>
      </c>
      <c r="B6" t="n">
        <v>37088.49</v>
      </c>
      <c r="C6" t="n">
        <v>909.37</v>
      </c>
      <c r="D6" t="n">
        <v>27710.25</v>
      </c>
      <c r="E6" t="n">
        <v>29243.19</v>
      </c>
      <c r="F6">
        <f>MAX(B6:E6)-MIN(B6:E6)</f>
        <v/>
      </c>
    </row>
    <row r="7">
      <c r="A7" t="inlineStr">
        <is>
          <t>Jun</t>
        </is>
      </c>
      <c r="B7" t="n">
        <v>14830.1</v>
      </c>
      <c r="C7" t="n">
        <v>9889.969999999999</v>
      </c>
      <c r="D7" t="n">
        <v>11577.93</v>
      </c>
      <c r="E7" t="n">
        <v>28532.5</v>
      </c>
      <c r="F7">
        <f>AVERAGE(B7:E7)</f>
        <v/>
      </c>
    </row>
    <row r="8">
      <c r="A8" t="inlineStr">
        <is>
          <t>Jul</t>
        </is>
      </c>
      <c r="B8" t="n">
        <v>25015.14</v>
      </c>
      <c r="C8" t="n">
        <v>32764.94</v>
      </c>
      <c r="D8" t="n">
        <v>34273.85</v>
      </c>
      <c r="E8" t="n">
        <v>12940.61</v>
      </c>
      <c r="F8">
        <f>MAX(B8:E8)-MIN(B8:E8)</f>
        <v/>
      </c>
    </row>
    <row r="9">
      <c r="A9" t="inlineStr">
        <is>
          <t>Aug</t>
        </is>
      </c>
      <c r="B9" t="n">
        <v>48328.76</v>
      </c>
      <c r="C9" t="n">
        <v>32120.55</v>
      </c>
      <c r="D9" t="n">
        <v>24580.72</v>
      </c>
      <c r="E9" t="n">
        <v>8494.860000000001</v>
      </c>
      <c r="F9">
        <f>B9*C9</f>
        <v/>
      </c>
    </row>
    <row r="10">
      <c r="A10" t="inlineStr">
        <is>
          <t>Sep</t>
        </is>
      </c>
      <c r="B10" t="n">
        <v>8546.360000000001</v>
      </c>
      <c r="C10" t="n">
        <v>36043.65</v>
      </c>
      <c r="D10" t="n">
        <v>24466.98</v>
      </c>
      <c r="E10" t="n">
        <v>45853.28</v>
      </c>
      <c r="F10">
        <f>SUM(B10:E10)</f>
        <v/>
      </c>
    </row>
    <row r="11">
      <c r="A11" t="inlineStr">
        <is>
          <t>Oct</t>
        </is>
      </c>
      <c r="B11" t="n">
        <v>26244.83</v>
      </c>
      <c r="C11" t="n">
        <v>41969.52</v>
      </c>
      <c r="D11" t="n">
        <v>3809.09</v>
      </c>
      <c r="E11" t="n">
        <v>40918</v>
      </c>
      <c r="F11">
        <f>SUM(B11:E11)</f>
        <v/>
      </c>
    </row>
    <row r="12">
      <c r="A12" t="inlineStr">
        <is>
          <t>Nov</t>
        </is>
      </c>
      <c r="B12" t="n">
        <v>38240.51</v>
      </c>
      <c r="C12" t="n">
        <v>20678.37</v>
      </c>
      <c r="D12" t="n">
        <v>42142.98</v>
      </c>
      <c r="E12" t="n">
        <v>11648.53</v>
      </c>
      <c r="F12">
        <f>AVERAGE(B12:E12)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