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Allocated</t>
        </is>
      </c>
      <c r="C1" t="inlineStr">
        <is>
          <t>Spent</t>
        </is>
      </c>
      <c r="D1" t="inlineStr">
        <is>
          <t>Remaining</t>
        </is>
      </c>
      <c r="E1" t="inlineStr">
        <is>
          <t>Variance</t>
        </is>
      </c>
      <c r="F1" t="inlineStr">
        <is>
          <t>Pct Used</t>
        </is>
      </c>
    </row>
    <row r="2">
      <c r="A2" t="inlineStr">
        <is>
          <t>Engineering</t>
        </is>
      </c>
      <c r="B2" t="n">
        <v>35421.26</v>
      </c>
      <c r="C2" t="n">
        <v>3037.8</v>
      </c>
      <c r="D2" t="n">
        <v>3463.28</v>
      </c>
      <c r="E2" t="n">
        <v>1667.51</v>
      </c>
      <c r="F2">
        <f>B2*C2</f>
        <v/>
      </c>
    </row>
    <row r="3">
      <c r="A3" t="inlineStr">
        <is>
          <t>Product</t>
        </is>
      </c>
      <c r="B3" t="n">
        <v>3635.78</v>
      </c>
      <c r="C3" t="n">
        <v>11976.43</v>
      </c>
      <c r="D3" t="n">
        <v>33481.99</v>
      </c>
      <c r="E3" t="n">
        <v>10790.42</v>
      </c>
      <c r="F3">
        <f>AVERAGE(B3:E3)</f>
        <v/>
      </c>
    </row>
    <row r="4">
      <c r="A4" t="inlineStr">
        <is>
          <t>Finance</t>
        </is>
      </c>
      <c r="B4" t="n">
        <v>36195.29</v>
      </c>
      <c r="C4" t="n">
        <v>44130.92</v>
      </c>
      <c r="D4" t="n">
        <v>28852.96</v>
      </c>
      <c r="E4" t="n">
        <v>12225.56</v>
      </c>
      <c r="F4">
        <f>MAX(B4:E4)-MIN(B4:E4)</f>
        <v/>
      </c>
    </row>
    <row r="5">
      <c r="A5" t="inlineStr">
        <is>
          <t>Operations</t>
        </is>
      </c>
      <c r="B5" t="n">
        <v>40394.1</v>
      </c>
      <c r="C5" t="n">
        <v>9601.450000000001</v>
      </c>
      <c r="D5" t="n">
        <v>4936.85</v>
      </c>
      <c r="E5" t="n">
        <v>21609.45</v>
      </c>
      <c r="F5">
        <f>MAX(B5:E5)-MIN(B5:E5)</f>
        <v/>
      </c>
    </row>
    <row r="6">
      <c r="A6" t="inlineStr">
        <is>
          <t>Sales</t>
        </is>
      </c>
      <c r="B6" t="n">
        <v>20614</v>
      </c>
      <c r="C6" t="n">
        <v>43205.45</v>
      </c>
      <c r="D6" t="n">
        <v>2803.14</v>
      </c>
      <c r="E6" t="n">
        <v>32707.43</v>
      </c>
      <c r="F6">
        <f>SUM(B6:E6)</f>
        <v/>
      </c>
    </row>
    <row r="7">
      <c r="A7" t="inlineStr">
        <is>
          <t>Design</t>
        </is>
      </c>
      <c r="B7" t="n">
        <v>3124.57</v>
      </c>
      <c r="C7" t="n">
        <v>36437.86</v>
      </c>
      <c r="D7" t="n">
        <v>40049.57</v>
      </c>
      <c r="E7" t="n">
        <v>5552.52</v>
      </c>
      <c r="F7">
        <f>AVERAGE(B7:E7)</f>
        <v/>
      </c>
    </row>
    <row r="8">
      <c r="A8" t="inlineStr">
        <is>
          <t>Support</t>
        </is>
      </c>
      <c r="B8" t="n">
        <v>9591.42</v>
      </c>
      <c r="C8" t="n">
        <v>22485.82</v>
      </c>
      <c r="D8" t="n">
        <v>21151.89</v>
      </c>
      <c r="E8" t="n">
        <v>13999.4</v>
      </c>
      <c r="F8">
        <f>AVERAGE(B8:E8)</f>
        <v/>
      </c>
    </row>
    <row r="9">
      <c r="A9" t="inlineStr">
        <is>
          <t>Total</t>
        </is>
      </c>
      <c r="B9">
        <f>SUM(B2:B8)</f>
        <v/>
      </c>
      <c r="C9">
        <f>SUM(C2:C8)</f>
        <v/>
      </c>
      <c r="D9">
        <f>SUM(D2:D8)</f>
        <v/>
      </c>
      <c r="E9">
        <f>SUM(E2:E8)</f>
        <v/>
      </c>
      <c r="F9">
        <f>SUM(F2:F8)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2026-10-16T02:06:08Z</dcterms:created>
  <dcterms:modified xsi:type="dcterms:W3CDTF">2026-10-16T02:06:08Z</dcterms:modified>
</cp:coreProperties>
</file>