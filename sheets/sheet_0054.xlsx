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Allocated</t>
        </is>
      </c>
      <c r="C1" t="inlineStr">
        <is>
          <t>Spent</t>
        </is>
      </c>
      <c r="D1" t="inlineStr">
        <is>
          <t>Remaining</t>
        </is>
      </c>
      <c r="E1" t="inlineStr">
        <is>
          <t>Variance</t>
        </is>
      </c>
      <c r="F1" t="inlineStr">
        <is>
          <t>Pct Used</t>
        </is>
      </c>
    </row>
    <row r="2">
      <c r="A2" t="inlineStr">
        <is>
          <t>Jan</t>
        </is>
      </c>
      <c r="B2" t="n">
        <v>16064.76</v>
      </c>
      <c r="C2" t="n">
        <v>41317.25</v>
      </c>
      <c r="D2" t="n">
        <v>28619.64</v>
      </c>
      <c r="E2" t="n">
        <v>6058.11</v>
      </c>
      <c r="F2">
        <f>SUM(B2:E2)</f>
        <v/>
      </c>
    </row>
    <row r="3">
      <c r="A3" t="inlineStr">
        <is>
          <t>Feb</t>
        </is>
      </c>
      <c r="B3" t="n">
        <v>9049.280000000001</v>
      </c>
      <c r="C3" t="n">
        <v>40236.47</v>
      </c>
      <c r="D3" t="n">
        <v>49072.55</v>
      </c>
      <c r="E3" t="n">
        <v>47708.56</v>
      </c>
      <c r="F3">
        <f>SUM(B3:E3)</f>
        <v/>
      </c>
    </row>
    <row r="4">
      <c r="A4" t="inlineStr">
        <is>
          <t>Mar</t>
        </is>
      </c>
      <c r="B4" t="n">
        <v>43861.86</v>
      </c>
      <c r="C4" t="n">
        <v>43315.01</v>
      </c>
      <c r="D4" t="n">
        <v>38699.02</v>
      </c>
      <c r="E4" t="n">
        <v>15603.82</v>
      </c>
      <c r="F4">
        <f>SUM(B4:E4)</f>
        <v/>
      </c>
    </row>
    <row r="5">
      <c r="A5" t="inlineStr">
        <is>
          <t>Apr</t>
        </is>
      </c>
      <c r="B5" t="n">
        <v>27699.26</v>
      </c>
      <c r="C5" t="n">
        <v>497.66</v>
      </c>
      <c r="D5" t="n">
        <v>10113.49</v>
      </c>
      <c r="E5" t="n">
        <v>28233.96</v>
      </c>
      <c r="F5">
        <f>B5*C5</f>
        <v/>
      </c>
    </row>
    <row r="6">
      <c r="A6" t="inlineStr">
        <is>
          <t>May</t>
        </is>
      </c>
      <c r="B6" t="n">
        <v>37004.84</v>
      </c>
      <c r="C6" t="n">
        <v>12204.94</v>
      </c>
      <c r="D6" t="n">
        <v>18476.85</v>
      </c>
      <c r="E6" t="n">
        <v>48595.7</v>
      </c>
      <c r="F6">
        <f>AVERAGE(B6:E6)</f>
        <v/>
      </c>
    </row>
    <row r="7">
      <c r="A7" t="inlineStr">
        <is>
          <t>Jun</t>
        </is>
      </c>
      <c r="B7" t="n">
        <v>36649.92</v>
      </c>
      <c r="C7" t="n">
        <v>27373.31</v>
      </c>
      <c r="D7" t="n">
        <v>39819.08</v>
      </c>
      <c r="E7" t="n">
        <v>7613.26</v>
      </c>
      <c r="F7">
        <f>MAX(B7:E7)-MIN(B7:E7)</f>
        <v/>
      </c>
    </row>
    <row r="8">
      <c r="A8" t="inlineStr">
        <is>
          <t>Jul</t>
        </is>
      </c>
      <c r="B8" t="n">
        <v>1293.12</v>
      </c>
      <c r="C8" t="n">
        <v>27123.11</v>
      </c>
      <c r="D8" t="n">
        <v>31833.5</v>
      </c>
      <c r="E8" t="n">
        <v>34703.69</v>
      </c>
      <c r="F8">
        <f>SUM(B8:E8)</f>
        <v/>
      </c>
    </row>
    <row r="9">
      <c r="A9" t="inlineStr">
        <is>
          <t>Aug</t>
        </is>
      </c>
      <c r="B9" t="n">
        <v>47554.41</v>
      </c>
      <c r="C9" t="n">
        <v>172.96</v>
      </c>
      <c r="D9" t="n">
        <v>32899.46</v>
      </c>
      <c r="E9" t="n">
        <v>42465.4</v>
      </c>
      <c r="F9">
        <f>B9*C9</f>
        <v/>
      </c>
    </row>
    <row r="10">
      <c r="A10" t="inlineStr">
        <is>
          <t>Sep</t>
        </is>
      </c>
      <c r="B10" t="n">
        <v>5287.06</v>
      </c>
      <c r="C10" t="n">
        <v>26537.74</v>
      </c>
      <c r="D10" t="n">
        <v>11984.56</v>
      </c>
      <c r="E10" t="n">
        <v>24652.24</v>
      </c>
      <c r="F10">
        <f>SUM(B10:E10)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